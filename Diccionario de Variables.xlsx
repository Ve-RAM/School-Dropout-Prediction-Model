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ownloads\Santiago Vera Ramírez - Felipe Murillo Gonzalez T1-P1 MS-IV\Santiago Vera Ramírez - Felipe Murillo Gonzalez T1-P1 MS-IV\"/>
    </mc:Choice>
  </mc:AlternateContent>
  <xr:revisionPtr revIDLastSave="672" documentId="13_ncr:1_{49E63FD2-433F-4FCF-AFAA-887762F6DCEA}" xr6:coauthVersionLast="47" xr6:coauthVersionMax="47" xr10:uidLastSave="{5BC5AAAF-73F7-43D0-AFCB-A217D9017363}"/>
  <bookViews>
    <workbookView xWindow="-120" yWindow="-120" windowWidth="20730" windowHeight="11040" firstSheet="1" activeTab="1" xr2:uid="{00000000-000D-0000-FFFF-FFFF00000000}"/>
  </bookViews>
  <sheets>
    <sheet name="Revisión" sheetId="2" r:id="rId1"/>
    <sheet name="Deserció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4" l="1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</calcChain>
</file>

<file path=xl/sharedStrings.xml><?xml version="1.0" encoding="utf-8"?>
<sst xmlns="http://schemas.openxmlformats.org/spreadsheetml/2006/main" count="402" uniqueCount="177">
  <si>
    <t>Archivo Base</t>
  </si>
  <si>
    <t>Archivo Original</t>
  </si>
  <si>
    <t>Archivo con las Restricciones Solicitadas</t>
  </si>
  <si>
    <t xml:space="preserve">Volumetría </t>
  </si>
  <si>
    <t>307 mb</t>
  </si>
  <si>
    <t>Registros</t>
  </si>
  <si>
    <t>Formato</t>
  </si>
  <si>
    <t>csv</t>
  </si>
  <si>
    <t>Variables</t>
  </si>
  <si>
    <t>Nombre de la Variable</t>
  </si>
  <si>
    <t>Tipo de Variable</t>
  </si>
  <si>
    <t>Tipo de la Variable (Python)</t>
  </si>
  <si>
    <t>Description General</t>
  </si>
  <si>
    <t>Tipos de Variable</t>
  </si>
  <si>
    <t>Units</t>
  </si>
  <si>
    <t>Valores Faltantes</t>
  </si>
  <si>
    <t>Cantidad de Valores Faltantes</t>
  </si>
  <si>
    <t>Tamaño de la variable en la memoria (en bytes)</t>
  </si>
  <si>
    <t>id</t>
  </si>
  <si>
    <t>Categorica</t>
  </si>
  <si>
    <t>int64</t>
  </si>
  <si>
    <t>Número de identificación del apartamento</t>
  </si>
  <si>
    <t>►Número único por variables</t>
  </si>
  <si>
    <t>No tiene</t>
  </si>
  <si>
    <t>no</t>
  </si>
  <si>
    <t>category</t>
  </si>
  <si>
    <t>Categorical</t>
  </si>
  <si>
    <t>object</t>
  </si>
  <si>
    <t>Tipo de renta a la que se va acceder</t>
  </si>
  <si>
    <t>►Renta de Apartamento
►Renta de Casa
►Renta a Corto Plazo</t>
  </si>
  <si>
    <t>No aplica</t>
  </si>
  <si>
    <t>amenities</t>
  </si>
  <si>
    <t>Categórica</t>
  </si>
  <si>
    <t>Lujos, servicios o beneficios con los que cuenta la propiedad a arrendar</t>
  </si>
  <si>
    <t>Esta variable puede tener muchos tipos abajo listaré algunas opciones que pueden aparecen en ella (estas no son incompatibles entre si):
Acceso a internet, acceso a television por cable o satelite, piscina, gimnasio, parqueadero, electrodomésticos, lavaplatos, etc.</t>
  </si>
  <si>
    <t>si</t>
  </si>
  <si>
    <t>bathrooms</t>
  </si>
  <si>
    <t>Numérica</t>
  </si>
  <si>
    <t>float64</t>
  </si>
  <si>
    <t>Cantidad de baños con los que cuenta el lugar</t>
  </si>
  <si>
    <t>Baños</t>
  </si>
  <si>
    <t>bedrooms</t>
  </si>
  <si>
    <t>Cantidad de dormitorios con los que cuenta el lugar</t>
  </si>
  <si>
    <t>Dormitorios</t>
  </si>
  <si>
    <t>currency</t>
  </si>
  <si>
    <t>Moneda en la que se paga</t>
  </si>
  <si>
    <t>USD</t>
  </si>
  <si>
    <t>fee</t>
  </si>
  <si>
    <t xml:space="preserve">Tarifa
(No es claro a que se refiere esta variable. Ninguna propiedad en venta tiene tarifas) </t>
  </si>
  <si>
    <t>►Tiene
►No tarifa</t>
  </si>
  <si>
    <t>has_photo</t>
  </si>
  <si>
    <t>Fotos de la propiedad</t>
  </si>
  <si>
    <t xml:space="preserve">►Solo la miniatura (como se ve la propiedad en la página de arrendamiento)
►Si cuenta con fotos del lugar
►No cuenta con fotos
</t>
  </si>
  <si>
    <t>No Aplica</t>
  </si>
  <si>
    <t>pets_allowed</t>
  </si>
  <si>
    <t>Animales permitidos en el lugar</t>
  </si>
  <si>
    <t>►Perros
►Gatos
►Perros y Gatos
►Ningún</t>
  </si>
  <si>
    <t>price</t>
  </si>
  <si>
    <t>Precio de la renta del Apartamento</t>
  </si>
  <si>
    <t>price_display</t>
  </si>
  <si>
    <t>Precio de la Renta convertido para la presentación al público</t>
  </si>
  <si>
    <t>price_type</t>
  </si>
  <si>
    <t>Cada cuanto hay que pagar</t>
  </si>
  <si>
    <t>►Mensualmente
►Semanalmente</t>
  </si>
  <si>
    <t>square_feet</t>
  </si>
  <si>
    <t xml:space="preserve">Area interior de las residencias </t>
  </si>
  <si>
    <t>Pies cuadrados</t>
  </si>
  <si>
    <t>cityname</t>
  </si>
  <si>
    <t xml:space="preserve">Ciudad en donde está ubicado el bien raiz </t>
  </si>
  <si>
    <t>state</t>
  </si>
  <si>
    <t xml:space="preserve">Estado en donde está ubicado el bien raiz </t>
  </si>
  <si>
    <t>latitude</t>
  </si>
  <si>
    <t>Latitud global en donde está ubicada la residencia</t>
  </si>
  <si>
    <t>Grados</t>
  </si>
  <si>
    <t>longitude</t>
  </si>
  <si>
    <t>Longitud global en donde está ubicada la residencia</t>
  </si>
  <si>
    <t>source</t>
  </si>
  <si>
    <t xml:space="preserve">Categórica </t>
  </si>
  <si>
    <t>Sitio web o agencia de donde se obtuvo la información del apartamento</t>
  </si>
  <si>
    <t>time</t>
  </si>
  <si>
    <t>Momento en que fue creado el clasificado</t>
  </si>
  <si>
    <t>Unix Epoch</t>
  </si>
  <si>
    <t>4.6 MB</t>
  </si>
  <si>
    <t>AÑO</t>
  </si>
  <si>
    <t xml:space="preserve">Numerica </t>
  </si>
  <si>
    <t xml:space="preserve">int64  </t>
  </si>
  <si>
    <t>Vigencia del indicador</t>
  </si>
  <si>
    <t>Años</t>
  </si>
  <si>
    <t>No</t>
  </si>
  <si>
    <t>CÓDIGO_MUNICIPIO</t>
  </si>
  <si>
    <t xml:space="preserve">int64 </t>
  </si>
  <si>
    <t>Código DANE del Municipio</t>
  </si>
  <si>
    <t>MUNICIPIO</t>
  </si>
  <si>
    <t>Texto</t>
  </si>
  <si>
    <t xml:space="preserve">object </t>
  </si>
  <si>
    <t>Nombre del Municipio</t>
  </si>
  <si>
    <t>CÓDIGO_DEPARTAMENTO</t>
  </si>
  <si>
    <t>Código DANE del Departamento</t>
  </si>
  <si>
    <t>DEPARTAMENTO</t>
  </si>
  <si>
    <t xml:space="preserve">
Nombre del Departamento</t>
  </si>
  <si>
    <t>CÓDIGO_ETC</t>
  </si>
  <si>
    <t>El Código DANE de la ETC es un identificador numérico que clasifica entidades territoriales certificadas en Colombia para fines estadísticos y administrativos</t>
  </si>
  <si>
    <t>ETC</t>
  </si>
  <si>
    <t>El Nombre de la ETC es el título oficial que identifica a una Entidad Territorial Certificada en Colombia, como un departamento, distrito o municipio.</t>
  </si>
  <si>
    <t>POBLACIÓN_5_16</t>
  </si>
  <si>
    <t>Población en edad teórica de estudiar (5 a 16 años) según proyecciones de población del DANE</t>
  </si>
  <si>
    <t>Personas</t>
  </si>
  <si>
    <t>Si</t>
  </si>
  <si>
    <t>TASA_MATRICULACIÓN_5_16</t>
  </si>
  <si>
    <t xml:space="preserve"> Numerica </t>
  </si>
  <si>
    <t xml:space="preserve">	
Proporción de la población entre 5 y 16 años que se encuentra asistiendo al sistema educativo. Cuando las proyecciones de población del DANE no capturan adecuadamente los flujos migratorios internos, puede alcanzar valores mayores al 100%.</t>
  </si>
  <si>
    <t>Adimensional</t>
  </si>
  <si>
    <t>COBERTURA_NETA</t>
  </si>
  <si>
    <t xml:space="preserve">	Es la relación entre el número de estudiantes matriculados en transición, primaria, secundaria y media que tienen la edad teórica (5 a 16 años) y el total de la población correspondiente a esa misma edad. Cuando las proyecciones de población del DANE no capturan adecuadamente los flujos migratorios internos, puede alcanzar valores mayores al 100%</t>
  </si>
  <si>
    <t>COBERTURA_NETA_TRANSICIÓN</t>
  </si>
  <si>
    <t>Es la relación entre el número de estudiantes matriculados en transición que tienen la edad teórica para cursar este nivel (5 años) y el total de la población correspondiente a esa misma edad. Cuando las proyecciones de población del DANE no capturan adecuadamente los flujos migratorios internos, puede alcanzar valores mayores al 100%.</t>
  </si>
  <si>
    <t>COBERTURA_NETA_PRIMARIA</t>
  </si>
  <si>
    <t xml:space="preserve"> float64</t>
  </si>
  <si>
    <t>Es la relación entre el número de estudiantes matriculados en primaria que tienen la edad teórica para cursar este nivel (6 a 10 años) y el total de la población correspondiente a esa misma edad. Cuando las proyecciones de población del DANE no capturan adecuadamente los flujos migratorios internos, puede alcanzar valores mayores al 100%.</t>
  </si>
  <si>
    <t>COBERTURA_NETA_SECUNDARIA</t>
  </si>
  <si>
    <t>RIA
Es la relación entre el número de estudiantes matriculados en secundaria que tienen la edad teórica para cursar este nivel (11 a 14 años) y el total de la población correspondiente a esa misma edad. Cuando las proyecciones de población del DANE no capturan adecuadamente los flujos migratorios internos, puede alcanzar valores mayores al 100%.</t>
  </si>
  <si>
    <t>COBERTURA_NETA_MEDIA</t>
  </si>
  <si>
    <t xml:space="preserve">	
Es la relación entre el número de estudiantes matriculados en media que tienen la edad teórica para cursar este nivel (15 a 16 años) y el total de la población correspondiente a esa misma edad. Cuando las proyecciones de población del DANE no capturan adecuadamente los flujos migratorios internos, puede alcanzar valores mayores al 100%.</t>
  </si>
  <si>
    <t>COBERTURA_BRUTA</t>
  </si>
  <si>
    <t xml:space="preserve">	
Es la relación entre el número de estudiantes matriculados en transición, primaria, secundaria y media respecto a la población en edad teórica para cursar estos niveles (5 a 16 años). En algunos casos la demanda social es mayor a la población en edad teórica para cursar educación preescolar, básica y media (5 a 16 años), explicada por estudiantes en extraedad, por lo que el indicador toma valores superiores al 100%.</t>
  </si>
  <si>
    <t>COBERTURA_BRUTA_TRANSICIÓN</t>
  </si>
  <si>
    <t>Es la relación entre el número de estudiantes matriculados en transición respecto a la población en edad teórica para cursar este nivel (5 años). En algunos casos la demanda social es mayor a la población en edad teórica para cursar este nivel (5 años), explicada por estudiantes en extraedad, por lo que el indicador toma valores superiores al 100%.</t>
  </si>
  <si>
    <t>COBERTURA_BRUTA_PRIMARIA</t>
  </si>
  <si>
    <t xml:space="preserve">
Es la relación entre el número de estudiantes matriculados en primaria respecto a la población en edad teórica para cursar este nivel (6 a 10 años). En algunos casos la demanda social es mayor a la población en edad teórica para cursar este nivel (6 a 10 años), explicada por estudiantes en extraedad, por lo que el indicador toma valores superiores al 100%.</t>
  </si>
  <si>
    <t>COBERTURA_BRUTA_SECUNDARIA</t>
  </si>
  <si>
    <t>Es la relación entre el número de estudiantes matriculados en secundaria respecto a la población en edad teórica para cursar este nivel (11 a 14 años). En algunos casos la demanda social es mayor a la población en edad teórica para cursar este nivel (11 a 14 años), explicada por estudiantes en extraedad, por lo que el indicador toma valores superiores al 100%.</t>
  </si>
  <si>
    <t>COBERTURA_BRUTA_MEDIA</t>
  </si>
  <si>
    <t>Es la relación entre el número de estudiantes matriculados en media respecto a la población en edad teórica para cursar este nivel (15 a 16 años). En algunos casos la demanda social es mayor a la población en edad teórica para cursar este nivel (15 a 16 años), explicada por estudiantes en extraedad, por lo que el indicador toma valores superiores al 100%.</t>
  </si>
  <si>
    <t>TAMAÑO_PROMEDIO_DE_GRUPO</t>
  </si>
  <si>
    <t>Corresponde al número promedio de estudiantes por grupo. Para su cálculo considera la matrícula y el número de grupos tanto del sector oficial como del no oficial</t>
  </si>
  <si>
    <t>SEDES_CONECTADAS_A_INTERNET</t>
  </si>
  <si>
    <t>Indica el porcentaje de sedes oficiales de Una Entidad Territorial Certificada que se encuentran conectadas a una red de Internet.</t>
  </si>
  <si>
    <t>DESERCIÓN</t>
  </si>
  <si>
    <t xml:space="preserve">
Tasa de deserción intra - anual del sector oficial. Identifica la proporción de alumnos matriculados que por factores culturales, coyunturales o de prestación del servicio educativo, abandonan sus estudios durante el año lectivo.</t>
  </si>
  <si>
    <t>DESERCIÓN_TRANSICIÓN</t>
  </si>
  <si>
    <t>Tasa de deserción intra - anual del sector oficial en transición. Identifica la proporción de alumnos matriculados que por factores culturales, coyunturales o de prestación del servicio educativo, abandonan sus estudios durante el año lectivo.</t>
  </si>
  <si>
    <t>DESERCIÓN_PRIMARIA</t>
  </si>
  <si>
    <t>Tasa de deserción intra - anual del sector oficial en primaria. Identifica la proporción de alumnos matriculados que por factores culturales, coyunturales o de prestación del servicio educativo, abandonan sus estudios durante el año lectivo.</t>
  </si>
  <si>
    <t>DESERCIÓN_SECUNDARIA</t>
  </si>
  <si>
    <t>Tasa de deserción intra - anual del sector oficial en secundaria. Identifica la proporción de alumnos matriculados que por factores culturales, coyunturales o de prestación del servicio educativo, abandonan sus estudios durante el año lectivo.</t>
  </si>
  <si>
    <t>DESERCIÓN_MEDIA</t>
  </si>
  <si>
    <t>Tasa de deserción intra - anual del sector oficial en media. Identifica la proporción de alumnos matriculados que por factores culturales, coyunturales o de prestación del servicio educativo, abandonan sus estudios durante el año lectivo.</t>
  </si>
  <si>
    <t>APROBACIÓN</t>
  </si>
  <si>
    <t>Tasa de aprobación de estudiantes del sector oficial. Identifica el porcentaje de alumnos en educación preescolar, básica y media que aprueba de acuerdo con los planes y programas de estudio vigentes.</t>
  </si>
  <si>
    <t>APROBACIÓN_TRANSICIÓN</t>
  </si>
  <si>
    <t>Tasa de aprobación de estudiantes del sector oficial en transición. Identifica el porcentaje de alumnos en este nivel educativo que aprueba de acuerdo con los planes y programas de estudio vigentes</t>
  </si>
  <si>
    <t>APROBACIÓN_PRIMARIA</t>
  </si>
  <si>
    <t>Tasa de aprobación de estudiantes del sector oficial en primaria. Identifica el porcentaje de alumnos en este nivel educativo que aprueba de acuerdo con los planes y programas de estudio vigentes.</t>
  </si>
  <si>
    <t>APROBACIÓN_SECUNDARIA</t>
  </si>
  <si>
    <t>Tasa de aprobación de estudiantes del sector oficial en secundaria. Identifica el porcentaje de alumnos en este nivel educativo que aprueba de acuerdo con los planes y programas de estudio vigentes.</t>
  </si>
  <si>
    <t>APROBACIÓN_MEDIA</t>
  </si>
  <si>
    <t>Tasa de aprobación de estudiantes del sector oficial en media. Identifica el porcentaje de alumnos en este nivel educativo que aprueba de acuerdo con los planes y programas de estudio vigentes.</t>
  </si>
  <si>
    <t>REPROBACIÓN</t>
  </si>
  <si>
    <t>Tasa de reprobación de estudiantes del sector oficial. Identifica el porcentaje de alumnos en educación preescolar, básica y media que reprueba de acuerdo con los planes y programas de estudio vigentes.</t>
  </si>
  <si>
    <t>REPROBACIÓN_TRANSICIÓN</t>
  </si>
  <si>
    <t>Tasa de reprobación de estudiantes del sector oficial en transición. Identifica el porcentaje de alumnos en este nivel educativo que reprueba de acuerdo con los planes y programas de estudio vigentes.</t>
  </si>
  <si>
    <t>REPROBACIÓN_PRIMARIA</t>
  </si>
  <si>
    <t>Tasa de reprobación de estudiantes del sector oficial en primaria. Identifica el porcentaje de alumnos en este nivel educativo que reprueba de acuerdo con los planes y programas de estudio vigentes</t>
  </si>
  <si>
    <t>REPROBACIÓN_SECUNDARIA</t>
  </si>
  <si>
    <t>Tasa de reprobación de estudiantes del sector oficial en secundaria. Identifica el porcentaje de alumnos en este nivel educativo que reprueba de acuerdo con los planes y programas de estudio vigentes.</t>
  </si>
  <si>
    <t>REPROBACIÓN_MEDIA</t>
  </si>
  <si>
    <t>Tasa de reprobación de estudiantes del sector oficial en media. Identifica el porcentaje de alumnos en este nivel educativo que reprueba de acuerdo con los planes y programas de estudio vigentes.</t>
  </si>
  <si>
    <t>REPITENCIA</t>
  </si>
  <si>
    <t>Tasa de repitencia del sector oficial. Corresponde al porcentaje de alumnos matriculados en un año escolar en transición, primaria, secundaria y media que se encuentran repitiendo el mismo grado cursado el año anterior.</t>
  </si>
  <si>
    <t>REPITENCIA_TRANSICIÓN</t>
  </si>
  <si>
    <t>Tasa de repitencia del sector oficial. Corresponde al porcentaje de alumnos matriculados en transición que se encuentran repitiendo el mismo grado cursado el año anterior.</t>
  </si>
  <si>
    <t>REPITENCIA_PRIMARIA</t>
  </si>
  <si>
    <t>Tasa de repitencia del sector oficial. Corresponde al porcentaje de alumnos matriculados en primaria que se encuentran repitiendo el mismo grado cursado el año anterior.</t>
  </si>
  <si>
    <t>REPITENCIA_SECUNDARIA</t>
  </si>
  <si>
    <t>Tasa de repitencia del sector oficial. Corresponde al porcentaje de alumnos matriculados en secundaria que se encuentran repitiendo el mismo grado cursado el año anterior.</t>
  </si>
  <si>
    <t>REPITENCIA_MEDIA</t>
  </si>
  <si>
    <t xml:space="preserve">	
Tasa de repitencia del sector oficial. Corresponde al porcentaje de alumnos matriculados en media que se encuentran repitiendo el mismo grado cursado el año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</si>
</sst>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303030"/>
      <name val="Segoe UI"/>
      <family val="2"/>
    </font>
    <font>
      <sz val="11"/>
      <color rgb="FF303030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Georgia"/>
    </font>
    <font>
      <b/>
      <sz val="11"/>
      <color theme="1"/>
      <name val="Georgia"/>
    </font>
    <font>
      <b/>
      <sz val="11"/>
      <color rgb="FF303030"/>
      <name val="Georgia"/>
    </font>
    <font>
      <sz val="11"/>
      <color rgb="FF303030"/>
      <name val="Georgia"/>
    </font>
    <font>
      <sz val="11"/>
      <color rgb="FF000000"/>
      <name val="Georgia"/>
    </font>
  </fonts>
  <fills count="12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DA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8" fillId="7" borderId="3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6" borderId="36" xfId="0" applyFont="1" applyFill="1" applyBorder="1" applyAlignment="1">
      <alignment horizontal="center" vertical="center" wrapText="1"/>
    </xf>
    <xf numFmtId="0" fontId="7" fillId="6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39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11" borderId="40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  <color rgb="FFFCE4D6"/>
      <color rgb="FFF2DAF5"/>
      <color rgb="FFD9E1F2"/>
      <color rgb="FFE2EFDA"/>
      <color rgb="FFFAFAFA"/>
      <color rgb="FFF7C8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C16" zoomScaleNormal="100" workbookViewId="0">
      <selection activeCell="B6" sqref="B6"/>
    </sheetView>
  </sheetViews>
  <sheetFormatPr defaultColWidth="23.140625" defaultRowHeight="34.5" customHeight="1"/>
  <cols>
    <col min="1" max="1" width="23.140625" style="6"/>
    <col min="2" max="2" width="17.5703125" style="6" bestFit="1" customWidth="1"/>
    <col min="3" max="3" width="23.140625" style="6"/>
    <col min="4" max="4" width="28.5703125" style="6" customWidth="1"/>
    <col min="5" max="5" width="63.28515625" style="8" customWidth="1"/>
    <col min="6" max="6" width="21.140625" style="6" bestFit="1" customWidth="1"/>
    <col min="7" max="7" width="16.140625" style="6" bestFit="1" customWidth="1"/>
    <col min="8" max="8" width="23.140625" style="6"/>
    <col min="9" max="9" width="30.140625" style="1" customWidth="1"/>
    <col min="10" max="16384" width="23.140625" style="1"/>
  </cols>
  <sheetData>
    <row r="1" spans="1:9" ht="45">
      <c r="A1" s="5"/>
      <c r="B1" s="4" t="s">
        <v>0</v>
      </c>
      <c r="E1" s="4" t="s">
        <v>1</v>
      </c>
      <c r="F1" s="4" t="s">
        <v>2</v>
      </c>
      <c r="G1" s="1"/>
      <c r="H1" s="1"/>
    </row>
    <row r="2" spans="1:9" ht="34.5" customHeight="1">
      <c r="A2" s="5" t="s">
        <v>3</v>
      </c>
      <c r="B2" s="5" t="s">
        <v>4</v>
      </c>
      <c r="D2" s="5" t="s">
        <v>5</v>
      </c>
      <c r="E2" s="5">
        <v>10000</v>
      </c>
      <c r="F2" s="5">
        <v>10000</v>
      </c>
      <c r="G2" s="1"/>
      <c r="H2" s="1"/>
    </row>
    <row r="3" spans="1:9" ht="34.5" customHeight="1">
      <c r="A3" s="5" t="s">
        <v>6</v>
      </c>
      <c r="B3" s="5" t="s">
        <v>7</v>
      </c>
      <c r="D3" s="5" t="s">
        <v>8</v>
      </c>
      <c r="E3" s="5">
        <v>22</v>
      </c>
      <c r="F3" s="5">
        <v>19</v>
      </c>
      <c r="G3" s="1"/>
      <c r="H3" s="1"/>
    </row>
    <row r="5" spans="1:9" ht="34.5" customHeight="1">
      <c r="A5" s="20" t="s">
        <v>9</v>
      </c>
      <c r="B5" s="21" t="s">
        <v>10</v>
      </c>
      <c r="C5" s="22" t="s">
        <v>11</v>
      </c>
      <c r="D5" s="23" t="s">
        <v>12</v>
      </c>
      <c r="E5" s="24" t="s">
        <v>13</v>
      </c>
      <c r="F5" s="24" t="s">
        <v>14</v>
      </c>
      <c r="G5" s="24" t="s">
        <v>15</v>
      </c>
      <c r="H5" s="25" t="s">
        <v>16</v>
      </c>
      <c r="I5" s="25" t="s">
        <v>17</v>
      </c>
    </row>
    <row r="6" spans="1:9" ht="34.5" customHeight="1">
      <c r="A6" s="15" t="s">
        <v>18</v>
      </c>
      <c r="B6" s="16" t="s">
        <v>19</v>
      </c>
      <c r="C6" s="15" t="s">
        <v>20</v>
      </c>
      <c r="D6" s="17" t="s">
        <v>21</v>
      </c>
      <c r="E6" s="18" t="s">
        <v>22</v>
      </c>
      <c r="F6" s="16" t="s">
        <v>23</v>
      </c>
      <c r="G6" s="16" t="s">
        <v>24</v>
      </c>
      <c r="H6" s="16">
        <v>0</v>
      </c>
      <c r="I6" s="19">
        <v>80000</v>
      </c>
    </row>
    <row r="7" spans="1:9" ht="54" customHeight="1">
      <c r="A7" s="9" t="s">
        <v>25</v>
      </c>
      <c r="B7" s="3" t="s">
        <v>26</v>
      </c>
      <c r="C7" s="9" t="s">
        <v>27</v>
      </c>
      <c r="D7" s="2" t="s">
        <v>28</v>
      </c>
      <c r="E7" s="7" t="s">
        <v>29</v>
      </c>
      <c r="F7" s="3" t="s">
        <v>30</v>
      </c>
      <c r="G7" s="3" t="s">
        <v>24</v>
      </c>
      <c r="H7" s="3">
        <v>0</v>
      </c>
      <c r="I7" s="10">
        <v>789992</v>
      </c>
    </row>
    <row r="8" spans="1:9" ht="63" customHeight="1">
      <c r="A8" s="9" t="s">
        <v>31</v>
      </c>
      <c r="B8" s="3" t="s">
        <v>32</v>
      </c>
      <c r="C8" s="9" t="s">
        <v>27</v>
      </c>
      <c r="D8" s="2" t="s">
        <v>33</v>
      </c>
      <c r="E8" s="7" t="s">
        <v>34</v>
      </c>
      <c r="F8" s="3" t="s">
        <v>30</v>
      </c>
      <c r="G8" s="3" t="s">
        <v>35</v>
      </c>
      <c r="H8" s="3">
        <v>3549</v>
      </c>
      <c r="I8" s="10">
        <v>791186</v>
      </c>
    </row>
    <row r="9" spans="1:9" ht="34.5" customHeight="1">
      <c r="A9" s="9" t="s">
        <v>36</v>
      </c>
      <c r="B9" s="3" t="s">
        <v>37</v>
      </c>
      <c r="C9" s="9" t="s">
        <v>38</v>
      </c>
      <c r="D9" s="2" t="s">
        <v>39</v>
      </c>
      <c r="E9" s="7"/>
      <c r="F9" s="3" t="s">
        <v>40</v>
      </c>
      <c r="G9" s="3" t="s">
        <v>35</v>
      </c>
      <c r="H9" s="3">
        <v>34</v>
      </c>
      <c r="I9" s="10">
        <v>80000</v>
      </c>
    </row>
    <row r="10" spans="1:9" ht="34.5" customHeight="1">
      <c r="A10" s="9" t="s">
        <v>41</v>
      </c>
      <c r="B10" s="3" t="s">
        <v>37</v>
      </c>
      <c r="C10" s="9" t="s">
        <v>38</v>
      </c>
      <c r="D10" s="2" t="s">
        <v>42</v>
      </c>
      <c r="E10" s="7"/>
      <c r="F10" s="3" t="s">
        <v>43</v>
      </c>
      <c r="G10" s="3" t="s">
        <v>35</v>
      </c>
      <c r="H10" s="3">
        <v>7</v>
      </c>
      <c r="I10" s="10">
        <v>80000</v>
      </c>
    </row>
    <row r="11" spans="1:9" ht="34.5" customHeight="1">
      <c r="A11" s="9" t="s">
        <v>44</v>
      </c>
      <c r="B11" s="3" t="s">
        <v>32</v>
      </c>
      <c r="C11" s="9" t="s">
        <v>27</v>
      </c>
      <c r="D11" s="2" t="s">
        <v>45</v>
      </c>
      <c r="E11" s="7"/>
      <c r="F11" s="3" t="s">
        <v>46</v>
      </c>
      <c r="G11" s="3" t="s">
        <v>24</v>
      </c>
      <c r="H11" s="3">
        <v>0</v>
      </c>
      <c r="I11" s="10">
        <v>600000</v>
      </c>
    </row>
    <row r="12" spans="1:9" ht="34.5" customHeight="1">
      <c r="A12" s="9" t="s">
        <v>47</v>
      </c>
      <c r="B12" s="3" t="s">
        <v>32</v>
      </c>
      <c r="C12" s="9" t="s">
        <v>27</v>
      </c>
      <c r="D12" s="2" t="s">
        <v>48</v>
      </c>
      <c r="E12" s="7" t="s">
        <v>49</v>
      </c>
      <c r="F12" s="3" t="s">
        <v>46</v>
      </c>
      <c r="G12" s="3" t="s">
        <v>24</v>
      </c>
      <c r="H12" s="3">
        <v>0</v>
      </c>
      <c r="I12" s="10">
        <v>590000</v>
      </c>
    </row>
    <row r="13" spans="1:9" ht="79.5" customHeight="1">
      <c r="A13" s="9" t="s">
        <v>50</v>
      </c>
      <c r="B13" s="3" t="s">
        <v>26</v>
      </c>
      <c r="C13" s="9" t="s">
        <v>27</v>
      </c>
      <c r="D13" s="2" t="s">
        <v>51</v>
      </c>
      <c r="E13" s="7" t="s">
        <v>52</v>
      </c>
      <c r="F13" s="3" t="s">
        <v>53</v>
      </c>
      <c r="G13" s="3" t="s">
        <v>24</v>
      </c>
      <c r="H13" s="3">
        <v>0</v>
      </c>
      <c r="I13" s="10">
        <v>653258</v>
      </c>
    </row>
    <row r="14" spans="1:9" ht="65.25" customHeight="1">
      <c r="A14" s="9" t="s">
        <v>54</v>
      </c>
      <c r="B14" s="3" t="s">
        <v>26</v>
      </c>
      <c r="C14" s="9" t="s">
        <v>27</v>
      </c>
      <c r="D14" s="2" t="s">
        <v>55</v>
      </c>
      <c r="E14" s="7" t="s">
        <v>56</v>
      </c>
      <c r="F14" s="3" t="s">
        <v>30</v>
      </c>
      <c r="G14" s="3" t="s">
        <v>35</v>
      </c>
      <c r="H14" s="3">
        <v>1748</v>
      </c>
      <c r="I14" s="10">
        <v>515413</v>
      </c>
    </row>
    <row r="15" spans="1:9" ht="34.5" customHeight="1">
      <c r="A15" s="9" t="s">
        <v>57</v>
      </c>
      <c r="B15" s="3" t="s">
        <v>37</v>
      </c>
      <c r="C15" s="9" t="s">
        <v>20</v>
      </c>
      <c r="D15" s="2" t="s">
        <v>58</v>
      </c>
      <c r="E15" s="7"/>
      <c r="F15" s="3" t="s">
        <v>46</v>
      </c>
      <c r="G15" s="3" t="s">
        <v>24</v>
      </c>
      <c r="H15" s="3">
        <v>0</v>
      </c>
      <c r="I15" s="10">
        <v>80000</v>
      </c>
    </row>
    <row r="16" spans="1:9" ht="49.5">
      <c r="A16" s="9" t="s">
        <v>59</v>
      </c>
      <c r="B16" s="3" t="s">
        <v>32</v>
      </c>
      <c r="C16" s="9" t="s">
        <v>27</v>
      </c>
      <c r="D16" s="2" t="s">
        <v>60</v>
      </c>
      <c r="E16" s="7"/>
      <c r="F16" s="3" t="s">
        <v>30</v>
      </c>
      <c r="G16" s="3" t="s">
        <v>24</v>
      </c>
      <c r="H16" s="3">
        <v>0</v>
      </c>
      <c r="I16" s="10">
        <v>332706</v>
      </c>
    </row>
    <row r="17" spans="1:9" ht="34.5" customHeight="1">
      <c r="A17" s="9" t="s">
        <v>61</v>
      </c>
      <c r="B17" s="3" t="s">
        <v>26</v>
      </c>
      <c r="C17" s="9" t="s">
        <v>27</v>
      </c>
      <c r="D17" s="2" t="s">
        <v>62</v>
      </c>
      <c r="E17" s="7" t="s">
        <v>63</v>
      </c>
      <c r="F17" s="3" t="s">
        <v>30</v>
      </c>
      <c r="G17" s="3" t="s">
        <v>24</v>
      </c>
      <c r="H17" s="3">
        <v>0</v>
      </c>
      <c r="I17" s="10">
        <v>640006</v>
      </c>
    </row>
    <row r="18" spans="1:9" ht="34.5" customHeight="1">
      <c r="A18" s="9" t="s">
        <v>64</v>
      </c>
      <c r="B18" s="3" t="s">
        <v>37</v>
      </c>
      <c r="C18" s="9" t="s">
        <v>20</v>
      </c>
      <c r="D18" s="2" t="s">
        <v>65</v>
      </c>
      <c r="E18" s="7"/>
      <c r="F18" s="3" t="s">
        <v>66</v>
      </c>
      <c r="G18" s="3" t="s">
        <v>24</v>
      </c>
      <c r="H18" s="3">
        <v>0</v>
      </c>
      <c r="I18" s="10">
        <v>80000</v>
      </c>
    </row>
    <row r="19" spans="1:9" ht="34.5" customHeight="1">
      <c r="A19" s="9" t="s">
        <v>67</v>
      </c>
      <c r="B19" s="3" t="s">
        <v>32</v>
      </c>
      <c r="C19" s="9" t="s">
        <v>27</v>
      </c>
      <c r="D19" s="2" t="s">
        <v>68</v>
      </c>
      <c r="E19" s="7"/>
      <c r="F19" s="3" t="s">
        <v>30</v>
      </c>
      <c r="G19" s="3" t="s">
        <v>35</v>
      </c>
      <c r="H19" s="3">
        <v>77</v>
      </c>
      <c r="I19" s="10">
        <v>655163</v>
      </c>
    </row>
    <row r="20" spans="1:9" ht="34.5" customHeight="1">
      <c r="A20" s="9" t="s">
        <v>69</v>
      </c>
      <c r="B20" s="3" t="s">
        <v>32</v>
      </c>
      <c r="C20" s="9" t="s">
        <v>27</v>
      </c>
      <c r="D20" s="2" t="s">
        <v>70</v>
      </c>
      <c r="E20" s="7"/>
      <c r="F20" s="3" t="s">
        <v>30</v>
      </c>
      <c r="G20" s="3" t="s">
        <v>35</v>
      </c>
      <c r="H20" s="3">
        <v>77</v>
      </c>
      <c r="I20" s="10">
        <v>587921</v>
      </c>
    </row>
    <row r="21" spans="1:9" ht="51" customHeight="1">
      <c r="A21" s="9" t="s">
        <v>71</v>
      </c>
      <c r="B21" s="3" t="s">
        <v>37</v>
      </c>
      <c r="C21" s="9" t="s">
        <v>38</v>
      </c>
      <c r="D21" s="2" t="s">
        <v>72</v>
      </c>
      <c r="E21" s="7"/>
      <c r="F21" s="3" t="s">
        <v>73</v>
      </c>
      <c r="G21" s="3" t="s">
        <v>35</v>
      </c>
      <c r="H21" s="3">
        <v>10</v>
      </c>
      <c r="I21" s="10">
        <v>80000</v>
      </c>
    </row>
    <row r="22" spans="1:9" ht="34.5" customHeight="1">
      <c r="A22" s="9" t="s">
        <v>74</v>
      </c>
      <c r="B22" s="3" t="s">
        <v>37</v>
      </c>
      <c r="C22" s="9" t="s">
        <v>38</v>
      </c>
      <c r="D22" s="2" t="s">
        <v>75</v>
      </c>
      <c r="E22" s="7"/>
      <c r="F22" s="3" t="s">
        <v>73</v>
      </c>
      <c r="G22" s="3" t="s">
        <v>35</v>
      </c>
      <c r="H22" s="3">
        <v>10</v>
      </c>
      <c r="I22" s="10">
        <v>80000</v>
      </c>
    </row>
    <row r="23" spans="1:9" ht="57.75" customHeight="1">
      <c r="A23" s="9" t="s">
        <v>76</v>
      </c>
      <c r="B23" s="3" t="s">
        <v>77</v>
      </c>
      <c r="C23" s="9" t="s">
        <v>27</v>
      </c>
      <c r="D23" s="2" t="s">
        <v>78</v>
      </c>
      <c r="E23" s="7"/>
      <c r="F23" s="3" t="s">
        <v>53</v>
      </c>
      <c r="G23" s="3" t="s">
        <v>24</v>
      </c>
      <c r="H23" s="3">
        <v>0</v>
      </c>
      <c r="I23" s="10">
        <v>668488</v>
      </c>
    </row>
    <row r="24" spans="1:9" ht="34.5" customHeight="1">
      <c r="A24" s="11" t="s">
        <v>79</v>
      </c>
      <c r="B24" s="14" t="s">
        <v>37</v>
      </c>
      <c r="C24" s="11" t="s">
        <v>20</v>
      </c>
      <c r="D24" s="12" t="s">
        <v>80</v>
      </c>
      <c r="E24" s="13"/>
      <c r="F24" s="14" t="s">
        <v>81</v>
      </c>
      <c r="G24" s="14" t="s">
        <v>24</v>
      </c>
      <c r="H24" s="14">
        <v>0</v>
      </c>
      <c r="I24" s="10">
        <v>80000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8849-97AD-4F67-A7D8-00630B523481}">
  <dimension ref="A1:H46"/>
  <sheetViews>
    <sheetView tabSelected="1" topLeftCell="D1" zoomScaleNormal="100" workbookViewId="0">
      <selection activeCell="G2" sqref="G2"/>
    </sheetView>
  </sheetViews>
  <sheetFormatPr defaultColWidth="23.140625" defaultRowHeight="34.5" customHeight="1"/>
  <cols>
    <col min="1" max="1" width="30" style="28" customWidth="1"/>
    <col min="2" max="2" width="52.140625" style="28" customWidth="1"/>
    <col min="3" max="3" width="32.85546875" style="28" customWidth="1"/>
    <col min="4" max="4" width="41" style="28" customWidth="1"/>
    <col min="5" max="5" width="28.5703125" style="28" customWidth="1"/>
    <col min="6" max="6" width="21.140625" style="28" customWidth="1"/>
    <col min="7" max="7" width="18.5703125" style="28" customWidth="1"/>
    <col min="8" max="8" width="27.28515625" style="28" customWidth="1"/>
    <col min="9" max="9" width="30.140625" style="28" customWidth="1"/>
    <col min="10" max="16384" width="23.140625" style="28"/>
  </cols>
  <sheetData>
    <row r="1" spans="1:8" ht="40.5">
      <c r="A1" s="26"/>
      <c r="B1" s="27" t="s">
        <v>0</v>
      </c>
      <c r="E1" s="27" t="s">
        <v>1</v>
      </c>
      <c r="F1" s="27" t="s">
        <v>2</v>
      </c>
    </row>
    <row r="2" spans="1:8" ht="34.5" customHeight="1">
      <c r="A2" s="26" t="s">
        <v>3</v>
      </c>
      <c r="B2" s="26" t="s">
        <v>82</v>
      </c>
      <c r="D2" s="26" t="s">
        <v>5</v>
      </c>
      <c r="E2" s="26">
        <v>14585</v>
      </c>
      <c r="F2" s="26">
        <v>14499</v>
      </c>
    </row>
    <row r="3" spans="1:8" ht="34.5" customHeight="1">
      <c r="A3" s="26" t="s">
        <v>6</v>
      </c>
      <c r="B3" s="26" t="s">
        <v>7</v>
      </c>
      <c r="D3" s="26" t="s">
        <v>8</v>
      </c>
      <c r="E3" s="26">
        <v>40</v>
      </c>
      <c r="F3" s="26">
        <v>12</v>
      </c>
    </row>
    <row r="5" spans="1:8" ht="34.5" customHeight="1">
      <c r="A5" s="29" t="s">
        <v>9</v>
      </c>
      <c r="B5" s="30" t="s">
        <v>10</v>
      </c>
      <c r="C5" s="31" t="s">
        <v>11</v>
      </c>
      <c r="D5" s="32" t="s">
        <v>12</v>
      </c>
      <c r="E5" s="33" t="s">
        <v>14</v>
      </c>
      <c r="F5" s="33" t="s">
        <v>15</v>
      </c>
      <c r="G5" s="34" t="s">
        <v>16</v>
      </c>
      <c r="H5" s="34" t="s">
        <v>17</v>
      </c>
    </row>
    <row r="6" spans="1:8" ht="34.5" customHeight="1">
      <c r="A6" s="35" t="s">
        <v>83</v>
      </c>
      <c r="B6" s="57" t="s">
        <v>84</v>
      </c>
      <c r="C6" s="69" t="s">
        <v>85</v>
      </c>
      <c r="D6" s="70" t="s">
        <v>86</v>
      </c>
      <c r="E6" s="36" t="s">
        <v>87</v>
      </c>
      <c r="F6" s="36" t="s">
        <v>88</v>
      </c>
      <c r="G6" s="86">
        <v>0</v>
      </c>
      <c r="H6" s="86">
        <v>116680</v>
      </c>
    </row>
    <row r="7" spans="1:8" ht="54" customHeight="1">
      <c r="A7" s="37" t="s">
        <v>89</v>
      </c>
      <c r="B7" s="58" t="s">
        <v>84</v>
      </c>
      <c r="C7" s="71" t="s">
        <v>90</v>
      </c>
      <c r="D7" s="72" t="s">
        <v>91</v>
      </c>
      <c r="E7" s="39" t="s">
        <v>30</v>
      </c>
      <c r="F7" s="36" t="s">
        <v>88</v>
      </c>
      <c r="G7" s="86">
        <v>0</v>
      </c>
      <c r="H7" s="86">
        <v>116680</v>
      </c>
    </row>
    <row r="8" spans="1:8" ht="49.5" customHeight="1">
      <c r="A8" s="37" t="s">
        <v>92</v>
      </c>
      <c r="B8" s="58" t="s">
        <v>93</v>
      </c>
      <c r="C8" s="71" t="s">
        <v>94</v>
      </c>
      <c r="D8" s="72" t="s">
        <v>95</v>
      </c>
      <c r="E8" s="39" t="s">
        <v>30</v>
      </c>
      <c r="F8" s="36" t="s">
        <v>88</v>
      </c>
      <c r="G8" s="86">
        <v>0</v>
      </c>
      <c r="H8" s="86">
        <v>967978</v>
      </c>
    </row>
    <row r="9" spans="1:8" ht="47.25" customHeight="1">
      <c r="A9" s="37" t="s">
        <v>96</v>
      </c>
      <c r="B9" s="58" t="s">
        <v>84</v>
      </c>
      <c r="C9" s="71" t="s">
        <v>20</v>
      </c>
      <c r="D9" s="72" t="s">
        <v>97</v>
      </c>
      <c r="E9" s="39" t="s">
        <v>30</v>
      </c>
      <c r="F9" s="36" t="s">
        <v>88</v>
      </c>
      <c r="G9" s="86">
        <v>0</v>
      </c>
      <c r="H9" s="86">
        <v>116680</v>
      </c>
    </row>
    <row r="10" spans="1:8" ht="48" customHeight="1">
      <c r="A10" s="37" t="s">
        <v>98</v>
      </c>
      <c r="B10" s="58" t="s">
        <v>93</v>
      </c>
      <c r="C10" s="71" t="s">
        <v>94</v>
      </c>
      <c r="D10" s="72" t="s">
        <v>99</v>
      </c>
      <c r="E10" s="39" t="s">
        <v>30</v>
      </c>
      <c r="F10" s="36" t="s">
        <v>88</v>
      </c>
      <c r="G10" s="86">
        <v>0</v>
      </c>
      <c r="H10" s="86">
        <v>947649</v>
      </c>
    </row>
    <row r="11" spans="1:8" ht="91.5" customHeight="1">
      <c r="A11" s="37" t="s">
        <v>100</v>
      </c>
      <c r="B11" s="58" t="s">
        <v>84</v>
      </c>
      <c r="C11" s="71" t="s">
        <v>38</v>
      </c>
      <c r="D11" s="72" t="s">
        <v>101</v>
      </c>
      <c r="E11" s="39" t="s">
        <v>30</v>
      </c>
      <c r="F11" s="36" t="s">
        <v>88</v>
      </c>
      <c r="G11" s="86">
        <v>0</v>
      </c>
      <c r="H11" s="86">
        <v>116680</v>
      </c>
    </row>
    <row r="12" spans="1:8" ht="70.5" customHeight="1">
      <c r="A12" s="37" t="s">
        <v>102</v>
      </c>
      <c r="B12" s="58" t="s">
        <v>93</v>
      </c>
      <c r="C12" s="66" t="s">
        <v>94</v>
      </c>
      <c r="D12" s="56" t="s">
        <v>103</v>
      </c>
      <c r="E12" s="39" t="s">
        <v>30</v>
      </c>
      <c r="F12" s="36" t="s">
        <v>88</v>
      </c>
      <c r="G12" s="86">
        <v>0</v>
      </c>
      <c r="H12" s="86">
        <v>1055805</v>
      </c>
    </row>
    <row r="13" spans="1:8" ht="79.5" customHeight="1">
      <c r="A13" s="37" t="s">
        <v>104</v>
      </c>
      <c r="B13" s="58" t="s">
        <v>93</v>
      </c>
      <c r="C13" s="38" t="s">
        <v>27</v>
      </c>
      <c r="D13" s="40" t="s">
        <v>105</v>
      </c>
      <c r="E13" s="39" t="s">
        <v>106</v>
      </c>
      <c r="F13" s="39" t="s">
        <v>107</v>
      </c>
      <c r="G13" s="72">
        <f xml:space="preserve"> 14585- 14579</f>
        <v>6</v>
      </c>
      <c r="H13" s="72">
        <v>773744</v>
      </c>
    </row>
    <row r="14" spans="1:8" ht="137.25" customHeight="1">
      <c r="A14" s="37" t="s">
        <v>108</v>
      </c>
      <c r="B14" s="58" t="s">
        <v>109</v>
      </c>
      <c r="C14" s="38" t="s">
        <v>38</v>
      </c>
      <c r="D14" s="40" t="s">
        <v>110</v>
      </c>
      <c r="E14" s="39" t="s">
        <v>111</v>
      </c>
      <c r="F14" s="39" t="s">
        <v>107</v>
      </c>
      <c r="G14" s="72">
        <f xml:space="preserve"> 14585 - 14470</f>
        <v>115</v>
      </c>
      <c r="H14" s="72">
        <v>116680</v>
      </c>
    </row>
    <row r="15" spans="1:8" ht="144.75" customHeight="1">
      <c r="A15" s="41" t="s">
        <v>112</v>
      </c>
      <c r="B15" s="59" t="s">
        <v>84</v>
      </c>
      <c r="C15" s="42" t="s">
        <v>38</v>
      </c>
      <c r="D15" s="43" t="s">
        <v>113</v>
      </c>
      <c r="E15" s="95" t="s">
        <v>111</v>
      </c>
      <c r="F15" s="95" t="s">
        <v>107</v>
      </c>
      <c r="G15" s="92">
        <f xml:space="preserve"> 14585 - 14474</f>
        <v>111</v>
      </c>
      <c r="H15" s="92">
        <v>116680</v>
      </c>
    </row>
    <row r="16" spans="1:8" ht="153.75" customHeight="1">
      <c r="A16" s="41" t="s">
        <v>114</v>
      </c>
      <c r="B16" s="59" t="s">
        <v>84</v>
      </c>
      <c r="C16" s="42" t="s">
        <v>38</v>
      </c>
      <c r="D16" s="43" t="s">
        <v>115</v>
      </c>
      <c r="E16" s="95" t="s">
        <v>111</v>
      </c>
      <c r="F16" s="95" t="s">
        <v>107</v>
      </c>
      <c r="G16" s="92">
        <f xml:space="preserve"> 14585 - 14533</f>
        <v>52</v>
      </c>
      <c r="H16" s="92">
        <v>116680</v>
      </c>
    </row>
    <row r="17" spans="1:8" ht="140.25" customHeight="1">
      <c r="A17" s="41" t="s">
        <v>116</v>
      </c>
      <c r="B17" s="59" t="s">
        <v>84</v>
      </c>
      <c r="C17" s="42" t="s">
        <v>117</v>
      </c>
      <c r="D17" s="43" t="s">
        <v>118</v>
      </c>
      <c r="E17" s="95" t="s">
        <v>111</v>
      </c>
      <c r="F17" s="95" t="s">
        <v>107</v>
      </c>
      <c r="G17" s="92">
        <f xml:space="preserve"> 14585 - 14494</f>
        <v>91</v>
      </c>
      <c r="H17" s="92">
        <v>116680</v>
      </c>
    </row>
    <row r="18" spans="1:8" ht="142.5" customHeight="1">
      <c r="A18" s="41" t="s">
        <v>119</v>
      </c>
      <c r="B18" s="59" t="s">
        <v>84</v>
      </c>
      <c r="C18" s="42" t="s">
        <v>38</v>
      </c>
      <c r="D18" s="43" t="s">
        <v>120</v>
      </c>
      <c r="E18" s="95" t="s">
        <v>111</v>
      </c>
      <c r="F18" s="95" t="s">
        <v>107</v>
      </c>
      <c r="G18" s="92">
        <f xml:space="preserve"> 14585 - 14491</f>
        <v>94</v>
      </c>
      <c r="H18" s="92">
        <v>116680</v>
      </c>
    </row>
    <row r="19" spans="1:8" ht="141.75" customHeight="1">
      <c r="A19" s="41" t="s">
        <v>121</v>
      </c>
      <c r="B19" s="59" t="s">
        <v>84</v>
      </c>
      <c r="C19" s="67" t="s">
        <v>38</v>
      </c>
      <c r="D19" s="44" t="s">
        <v>122</v>
      </c>
      <c r="E19" s="95" t="s">
        <v>111</v>
      </c>
      <c r="F19" s="95" t="s">
        <v>107</v>
      </c>
      <c r="G19" s="92">
        <f xml:space="preserve"> 14585 - 14492</f>
        <v>93</v>
      </c>
      <c r="H19" s="92">
        <v>116680</v>
      </c>
    </row>
    <row r="20" spans="1:8" ht="184.5" customHeight="1">
      <c r="A20" s="45" t="s">
        <v>123</v>
      </c>
      <c r="B20" s="60" t="s">
        <v>84</v>
      </c>
      <c r="C20" s="73" t="s">
        <v>38</v>
      </c>
      <c r="D20" s="74" t="s">
        <v>124</v>
      </c>
      <c r="E20" s="96" t="s">
        <v>111</v>
      </c>
      <c r="F20" s="96" t="s">
        <v>107</v>
      </c>
      <c r="G20" s="76">
        <f xml:space="preserve"> 14585 - 14517</f>
        <v>68</v>
      </c>
      <c r="H20" s="76">
        <v>116680</v>
      </c>
    </row>
    <row r="21" spans="1:8" ht="134.25" customHeight="1">
      <c r="A21" s="45" t="s">
        <v>125</v>
      </c>
      <c r="B21" s="60" t="s">
        <v>84</v>
      </c>
      <c r="C21" s="73" t="s">
        <v>38</v>
      </c>
      <c r="D21" s="74" t="s">
        <v>126</v>
      </c>
      <c r="E21" s="96" t="s">
        <v>111</v>
      </c>
      <c r="F21" s="96" t="s">
        <v>107</v>
      </c>
      <c r="G21" s="76">
        <f xml:space="preserve"> 14585 - 14488</f>
        <v>97</v>
      </c>
      <c r="H21" s="76">
        <v>116680</v>
      </c>
    </row>
    <row r="22" spans="1:8" ht="161.25" customHeight="1">
      <c r="A22" s="45" t="s">
        <v>127</v>
      </c>
      <c r="B22" s="60" t="s">
        <v>84</v>
      </c>
      <c r="C22" s="75" t="s">
        <v>38</v>
      </c>
      <c r="D22" s="76" t="s">
        <v>128</v>
      </c>
      <c r="E22" s="96" t="s">
        <v>111</v>
      </c>
      <c r="F22" s="96" t="s">
        <v>107</v>
      </c>
      <c r="G22" s="76">
        <f xml:space="preserve"> 14585 - 14504</f>
        <v>81</v>
      </c>
      <c r="H22" s="76">
        <v>116680</v>
      </c>
    </row>
    <row r="23" spans="1:8" ht="127.5" customHeight="1">
      <c r="A23" s="45" t="s">
        <v>129</v>
      </c>
      <c r="B23" s="60" t="s">
        <v>84</v>
      </c>
      <c r="C23" s="79" t="s">
        <v>38</v>
      </c>
      <c r="D23" s="80" t="s">
        <v>130</v>
      </c>
      <c r="E23" s="96" t="s">
        <v>111</v>
      </c>
      <c r="F23" s="96" t="s">
        <v>107</v>
      </c>
      <c r="G23" s="76">
        <f xml:space="preserve"> 14585 - 14497</f>
        <v>88</v>
      </c>
      <c r="H23" s="76">
        <v>116680</v>
      </c>
    </row>
    <row r="24" spans="1:8" ht="139.5" customHeight="1">
      <c r="A24" s="45" t="s">
        <v>131</v>
      </c>
      <c r="B24" s="45" t="s">
        <v>84</v>
      </c>
      <c r="C24" s="74" t="s">
        <v>38</v>
      </c>
      <c r="D24" s="74" t="s">
        <v>132</v>
      </c>
      <c r="E24" s="96" t="s">
        <v>111</v>
      </c>
      <c r="F24" s="96" t="s">
        <v>107</v>
      </c>
      <c r="G24" s="76">
        <f xml:space="preserve"> 14585 - 14458</f>
        <v>127</v>
      </c>
      <c r="H24" s="76">
        <v>116680</v>
      </c>
    </row>
    <row r="25" spans="1:8" ht="69.75" customHeight="1">
      <c r="A25" s="37" t="s">
        <v>133</v>
      </c>
      <c r="B25" s="58" t="s">
        <v>84</v>
      </c>
      <c r="C25" s="81" t="s">
        <v>38</v>
      </c>
      <c r="D25" s="82" t="s">
        <v>134</v>
      </c>
      <c r="E25" s="39" t="s">
        <v>111</v>
      </c>
      <c r="F25" s="39" t="s">
        <v>107</v>
      </c>
      <c r="G25" s="72">
        <f xml:space="preserve"> 14585 - 7572</f>
        <v>7013</v>
      </c>
      <c r="H25" s="72">
        <v>116680</v>
      </c>
    </row>
    <row r="26" spans="1:8" ht="65.25" customHeight="1">
      <c r="A26" s="46" t="s">
        <v>135</v>
      </c>
      <c r="B26" s="61" t="s">
        <v>84</v>
      </c>
      <c r="C26" s="69" t="s">
        <v>38</v>
      </c>
      <c r="D26" s="70" t="s">
        <v>136</v>
      </c>
      <c r="E26" s="39" t="s">
        <v>111</v>
      </c>
      <c r="F26" s="39" t="s">
        <v>107</v>
      </c>
      <c r="G26" s="72">
        <f xml:space="preserve"> 14585 - 7768</f>
        <v>6817</v>
      </c>
      <c r="H26" s="72">
        <v>116680</v>
      </c>
    </row>
    <row r="27" spans="1:8" ht="102" customHeight="1">
      <c r="A27" s="47" t="s">
        <v>137</v>
      </c>
      <c r="B27" s="47" t="s">
        <v>84</v>
      </c>
      <c r="C27" s="83" t="s">
        <v>38</v>
      </c>
      <c r="D27" s="83" t="s">
        <v>138</v>
      </c>
      <c r="E27" s="97" t="s">
        <v>111</v>
      </c>
      <c r="F27" s="97" t="s">
        <v>107</v>
      </c>
      <c r="G27" s="83">
        <f xml:space="preserve"> 14585 - 14443</f>
        <v>142</v>
      </c>
      <c r="H27" s="83">
        <v>116680</v>
      </c>
    </row>
    <row r="28" spans="1:8" ht="114.75" customHeight="1">
      <c r="A28" s="47" t="s">
        <v>139</v>
      </c>
      <c r="B28" s="62" t="s">
        <v>84</v>
      </c>
      <c r="C28" s="84" t="s">
        <v>38</v>
      </c>
      <c r="D28" s="85" t="s">
        <v>140</v>
      </c>
      <c r="E28" s="97" t="s">
        <v>111</v>
      </c>
      <c r="F28" s="97" t="s">
        <v>107</v>
      </c>
      <c r="G28" s="83">
        <f xml:space="preserve"> 14585 - 13682</f>
        <v>903</v>
      </c>
      <c r="H28" s="83">
        <v>116680</v>
      </c>
    </row>
    <row r="29" spans="1:8" ht="95.25" customHeight="1">
      <c r="A29" s="47" t="s">
        <v>141</v>
      </c>
      <c r="B29" s="62" t="s">
        <v>84</v>
      </c>
      <c r="C29" s="88" t="s">
        <v>38</v>
      </c>
      <c r="D29" s="89" t="s">
        <v>142</v>
      </c>
      <c r="E29" s="97" t="s">
        <v>111</v>
      </c>
      <c r="F29" s="97" t="s">
        <v>107</v>
      </c>
      <c r="G29" s="83">
        <f xml:space="preserve"> 14585 - 14343</f>
        <v>242</v>
      </c>
      <c r="H29" s="83">
        <v>116680</v>
      </c>
    </row>
    <row r="30" spans="1:8" ht="114" customHeight="1">
      <c r="A30" s="47" t="s">
        <v>143</v>
      </c>
      <c r="B30" s="47" t="s">
        <v>84</v>
      </c>
      <c r="C30" s="87" t="s">
        <v>38</v>
      </c>
      <c r="D30" s="87" t="s">
        <v>144</v>
      </c>
      <c r="E30" s="97" t="s">
        <v>111</v>
      </c>
      <c r="F30" s="97" t="s">
        <v>107</v>
      </c>
      <c r="G30" s="83">
        <f xml:space="preserve"> 14585 - 14315</f>
        <v>270</v>
      </c>
      <c r="H30" s="83">
        <v>116680</v>
      </c>
    </row>
    <row r="31" spans="1:8" ht="93" customHeight="1">
      <c r="A31" s="47" t="s">
        <v>145</v>
      </c>
      <c r="B31" s="47" t="s">
        <v>84</v>
      </c>
      <c r="C31" s="87" t="s">
        <v>38</v>
      </c>
      <c r="D31" s="87" t="s">
        <v>146</v>
      </c>
      <c r="E31" s="97" t="s">
        <v>111</v>
      </c>
      <c r="F31" s="97" t="s">
        <v>107</v>
      </c>
      <c r="G31" s="83">
        <f xml:space="preserve"> 14585 - 13851</f>
        <v>734</v>
      </c>
      <c r="H31" s="83">
        <v>116680</v>
      </c>
    </row>
    <row r="32" spans="1:8" ht="93" customHeight="1">
      <c r="A32" s="48" t="s">
        <v>147</v>
      </c>
      <c r="B32" s="63" t="s">
        <v>84</v>
      </c>
      <c r="C32" s="90" t="s">
        <v>38</v>
      </c>
      <c r="D32" s="91" t="s">
        <v>148</v>
      </c>
      <c r="E32" s="98" t="s">
        <v>111</v>
      </c>
      <c r="F32" s="98" t="s">
        <v>107</v>
      </c>
      <c r="G32" s="94">
        <f xml:space="preserve"> 14585 - 14560</f>
        <v>25</v>
      </c>
      <c r="H32" s="94">
        <v>116680</v>
      </c>
    </row>
    <row r="33" spans="1:8" ht="108.75" customHeight="1">
      <c r="A33" s="48" t="s">
        <v>149</v>
      </c>
      <c r="B33" s="63" t="s">
        <v>84</v>
      </c>
      <c r="C33" s="77" t="s">
        <v>38</v>
      </c>
      <c r="D33" s="78" t="s">
        <v>150</v>
      </c>
      <c r="E33" s="98" t="s">
        <v>111</v>
      </c>
      <c r="F33" s="98" t="s">
        <v>107</v>
      </c>
      <c r="G33" s="94">
        <f xml:space="preserve"> 14585 - 14492</f>
        <v>93</v>
      </c>
      <c r="H33" s="94">
        <v>116680</v>
      </c>
    </row>
    <row r="34" spans="1:8" ht="90" customHeight="1">
      <c r="A34" s="48" t="s">
        <v>151</v>
      </c>
      <c r="B34" s="63" t="s">
        <v>84</v>
      </c>
      <c r="C34" s="77" t="s">
        <v>38</v>
      </c>
      <c r="D34" s="78" t="s">
        <v>152</v>
      </c>
      <c r="E34" s="98" t="s">
        <v>111</v>
      </c>
      <c r="F34" s="98" t="s">
        <v>107</v>
      </c>
      <c r="G34" s="94">
        <f xml:space="preserve"> 14585 - 14560</f>
        <v>25</v>
      </c>
      <c r="H34" s="94">
        <v>116680</v>
      </c>
    </row>
    <row r="35" spans="1:8" ht="87.75" customHeight="1">
      <c r="A35" s="48" t="s">
        <v>153</v>
      </c>
      <c r="B35" s="63" t="s">
        <v>84</v>
      </c>
      <c r="C35" s="77" t="s">
        <v>117</v>
      </c>
      <c r="D35" s="78" t="s">
        <v>154</v>
      </c>
      <c r="E35" s="98" t="s">
        <v>111</v>
      </c>
      <c r="F35" s="98" t="s">
        <v>107</v>
      </c>
      <c r="G35" s="94">
        <f xml:space="preserve"> 14585 - 14531</f>
        <v>54</v>
      </c>
      <c r="H35" s="94">
        <v>116680</v>
      </c>
    </row>
    <row r="36" spans="1:8" ht="87" customHeight="1">
      <c r="A36" s="48" t="s">
        <v>155</v>
      </c>
      <c r="B36" s="63" t="s">
        <v>84</v>
      </c>
      <c r="C36" s="68" t="s">
        <v>38</v>
      </c>
      <c r="D36" s="49" t="s">
        <v>156</v>
      </c>
      <c r="E36" s="98" t="s">
        <v>111</v>
      </c>
      <c r="F36" s="98" t="s">
        <v>107</v>
      </c>
      <c r="G36" s="94">
        <f xml:space="preserve"> 14585 - 14484</f>
        <v>101</v>
      </c>
      <c r="H36" s="94">
        <v>116680</v>
      </c>
    </row>
    <row r="37" spans="1:8" ht="78" customHeight="1">
      <c r="A37" s="50" t="s">
        <v>157</v>
      </c>
      <c r="B37" s="64" t="s">
        <v>84</v>
      </c>
      <c r="C37" s="51" t="s">
        <v>38</v>
      </c>
      <c r="D37" s="52" t="s">
        <v>158</v>
      </c>
      <c r="E37" s="99" t="s">
        <v>111</v>
      </c>
      <c r="F37" s="99" t="s">
        <v>107</v>
      </c>
      <c r="G37" s="93">
        <f xml:space="preserve"> 14585 -14499</f>
        <v>86</v>
      </c>
      <c r="H37" s="93">
        <v>116680</v>
      </c>
    </row>
    <row r="38" spans="1:8" ht="76.5" customHeight="1">
      <c r="A38" s="50" t="s">
        <v>159</v>
      </c>
      <c r="B38" s="64" t="s">
        <v>84</v>
      </c>
      <c r="C38" s="51" t="s">
        <v>38</v>
      </c>
      <c r="D38" s="52" t="s">
        <v>160</v>
      </c>
      <c r="E38" s="99" t="s">
        <v>111</v>
      </c>
      <c r="F38" s="99" t="s">
        <v>107</v>
      </c>
      <c r="G38" s="93">
        <f xml:space="preserve"> 14585 - 14492</f>
        <v>93</v>
      </c>
      <c r="H38" s="93">
        <v>116680</v>
      </c>
    </row>
    <row r="39" spans="1:8" ht="84.75" customHeight="1">
      <c r="A39" s="50" t="s">
        <v>161</v>
      </c>
      <c r="B39" s="64" t="s">
        <v>84</v>
      </c>
      <c r="C39" s="103" t="s">
        <v>38</v>
      </c>
      <c r="D39" s="104" t="s">
        <v>162</v>
      </c>
      <c r="E39" s="99" t="s">
        <v>111</v>
      </c>
      <c r="F39" s="99" t="s">
        <v>107</v>
      </c>
      <c r="G39" s="93">
        <f xml:space="preserve"> 14585 -14488</f>
        <v>97</v>
      </c>
      <c r="H39" s="93">
        <v>116680</v>
      </c>
    </row>
    <row r="40" spans="1:8" ht="90" customHeight="1">
      <c r="A40" s="50" t="s">
        <v>163</v>
      </c>
      <c r="B40" s="101" t="s">
        <v>84</v>
      </c>
      <c r="C40" s="100" t="s">
        <v>38</v>
      </c>
      <c r="D40" s="100" t="s">
        <v>164</v>
      </c>
      <c r="E40" s="102" t="s">
        <v>111</v>
      </c>
      <c r="F40" s="99" t="s">
        <v>107</v>
      </c>
      <c r="G40" s="93">
        <f xml:space="preserve"> 14585- 14479</f>
        <v>106</v>
      </c>
      <c r="H40" s="93">
        <v>116680</v>
      </c>
    </row>
    <row r="41" spans="1:8" ht="89.25" customHeight="1">
      <c r="A41" s="50" t="s">
        <v>165</v>
      </c>
      <c r="B41" s="64" t="s">
        <v>84</v>
      </c>
      <c r="C41" s="105" t="s">
        <v>38</v>
      </c>
      <c r="D41" s="106" t="s">
        <v>166</v>
      </c>
      <c r="E41" s="99" t="s">
        <v>111</v>
      </c>
      <c r="F41" s="99" t="s">
        <v>107</v>
      </c>
      <c r="G41" s="93">
        <f xml:space="preserve"> 14585 - 14440</f>
        <v>145</v>
      </c>
      <c r="H41" s="93">
        <v>116680</v>
      </c>
    </row>
    <row r="42" spans="1:8" ht="114.75" customHeight="1">
      <c r="A42" s="53" t="s">
        <v>167</v>
      </c>
      <c r="B42" s="65" t="s">
        <v>84</v>
      </c>
      <c r="C42" s="54" t="s">
        <v>38</v>
      </c>
      <c r="D42" s="55" t="s">
        <v>168</v>
      </c>
      <c r="E42" s="95" t="s">
        <v>111</v>
      </c>
      <c r="F42" s="95" t="s">
        <v>107</v>
      </c>
      <c r="G42" s="92">
        <f xml:space="preserve"> 14585 - 14442</f>
        <v>143</v>
      </c>
      <c r="H42" s="92">
        <v>116680</v>
      </c>
    </row>
    <row r="43" spans="1:8" ht="77.25" customHeight="1">
      <c r="A43" s="53" t="s">
        <v>169</v>
      </c>
      <c r="B43" s="65" t="s">
        <v>84</v>
      </c>
      <c r="C43" s="54" t="s">
        <v>38</v>
      </c>
      <c r="D43" s="55" t="s">
        <v>170</v>
      </c>
      <c r="E43" s="95" t="s">
        <v>111</v>
      </c>
      <c r="F43" s="95" t="s">
        <v>107</v>
      </c>
      <c r="G43" s="92">
        <f xml:space="preserve"> 14585 -14426</f>
        <v>159</v>
      </c>
      <c r="H43" s="92">
        <v>116680</v>
      </c>
    </row>
    <row r="44" spans="1:8" ht="80.25" customHeight="1">
      <c r="A44" s="53" t="s">
        <v>171</v>
      </c>
      <c r="B44" s="65" t="s">
        <v>84</v>
      </c>
      <c r="C44" s="54" t="s">
        <v>38</v>
      </c>
      <c r="D44" s="55" t="s">
        <v>172</v>
      </c>
      <c r="E44" s="95" t="s">
        <v>111</v>
      </c>
      <c r="F44" s="95" t="s">
        <v>107</v>
      </c>
      <c r="G44" s="92">
        <f xml:space="preserve"> 14585 - 14437</f>
        <v>148</v>
      </c>
      <c r="H44" s="92">
        <v>116680</v>
      </c>
    </row>
    <row r="45" spans="1:8" ht="84" customHeight="1">
      <c r="A45" s="53" t="s">
        <v>173</v>
      </c>
      <c r="B45" s="65" t="s">
        <v>84</v>
      </c>
      <c r="C45" s="54" t="s">
        <v>38</v>
      </c>
      <c r="D45" s="55" t="s">
        <v>174</v>
      </c>
      <c r="E45" s="95" t="s">
        <v>111</v>
      </c>
      <c r="F45" s="95" t="s">
        <v>107</v>
      </c>
      <c r="G45" s="92">
        <f xml:space="preserve"> 14585 - 14433</f>
        <v>152</v>
      </c>
      <c r="H45" s="92">
        <v>116680</v>
      </c>
    </row>
    <row r="46" spans="1:8" ht="69.75" customHeight="1">
      <c r="A46" s="53" t="s">
        <v>175</v>
      </c>
      <c r="B46" s="65" t="s">
        <v>84</v>
      </c>
      <c r="C46" s="54" t="s">
        <v>38</v>
      </c>
      <c r="D46" s="55" t="s">
        <v>176</v>
      </c>
      <c r="E46" s="95" t="s">
        <v>111</v>
      </c>
      <c r="F46" s="95" t="s">
        <v>107</v>
      </c>
      <c r="G46" s="92">
        <f xml:space="preserve"> 14585 - 14446</f>
        <v>139</v>
      </c>
      <c r="H46" s="92">
        <v>116680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Clases Aulas Admisiones</dc:creator>
  <cp:keywords/>
  <dc:description/>
  <cp:lastModifiedBy>Santiago Vera Ramírez</cp:lastModifiedBy>
  <cp:revision/>
  <dcterms:created xsi:type="dcterms:W3CDTF">2024-08-20T20:17:32Z</dcterms:created>
  <dcterms:modified xsi:type="dcterms:W3CDTF">2024-11-18T20:25:37Z</dcterms:modified>
  <cp:category/>
  <cp:contentStatus/>
</cp:coreProperties>
</file>